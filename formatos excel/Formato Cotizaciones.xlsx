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vm\opencode\admon\formatos excel\"/>
    </mc:Choice>
  </mc:AlternateContent>
  <xr:revisionPtr revIDLastSave="0" documentId="13_ncr:1_{9D75C6F3-E2E1-4188-8A7E-0D9D840E5FDD}" xr6:coauthVersionLast="47" xr6:coauthVersionMax="47" xr10:uidLastSave="{00000000-0000-0000-0000-000000000000}"/>
  <bookViews>
    <workbookView xWindow="-120" yWindow="-120" windowWidth="29040" windowHeight="17640" activeTab="1" xr2:uid="{89BFCBED-0B14-4328-AF40-FF6F1A39ED09}"/>
  </bookViews>
  <sheets>
    <sheet name="Cotizacion" sheetId="4" r:id="rId1"/>
    <sheet name="Calcul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4" l="1" a="1"/>
  <c r="G3" i="2"/>
  <c r="F1" i="4"/>
  <c r="I3" i="2" l="1"/>
  <c r="J3" i="2" s="1"/>
  <c r="K3" i="2" l="1"/>
  <c r="J6" i="2"/>
  <c r="K6" i="2" l="1"/>
  <c r="H39" i="4"/>
  <c r="H40" i="4" s="1"/>
  <c r="H4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<sst xmlns="http://schemas.openxmlformats.org/spreadsheetml/2006/main" count="33" uniqueCount="33">
  <si>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Folio</t>
  </si>
  <si>
    <t>Cliente</t>
  </si>
  <si>
    <t>Departamento</t>
  </si>
  <si>
    <t>Nombre</t>
  </si>
  <si>
    <t>Partida</t>
  </si>
  <si>
    <t>Cantidad</t>
  </si>
  <si>
    <t>Descripcion</t>
  </si>
  <si>
    <t>Precio Unitario</t>
  </si>
  <si>
    <t>Precio Total</t>
  </si>
  <si>
    <t>Subtotal</t>
  </si>
  <si>
    <t>Condiciones de Pago: 30 dias</t>
  </si>
  <si>
    <t>IVA 16%</t>
  </si>
  <si>
    <t>Precios en Moneda Nacional</t>
  </si>
  <si>
    <t>Total</t>
  </si>
  <si>
    <t>Sin otro particular de momento y en espera de vernos favorecidos con su preferencia quedo de ustedes.</t>
  </si>
  <si>
    <t>Part</t>
  </si>
  <si>
    <t>Cant</t>
  </si>
  <si>
    <t>Desc.</t>
  </si>
  <si>
    <t>Modelo</t>
  </si>
  <si>
    <t>P.Com.Uni (Dls)</t>
  </si>
  <si>
    <t>P.Com.Uni.</t>
  </si>
  <si>
    <t>P. Com Total</t>
  </si>
  <si>
    <t>Factor</t>
  </si>
  <si>
    <t>Ganancia</t>
  </si>
  <si>
    <t xml:space="preserve">Tenemos el gusto de presentar a su apreciable consideración nuestra cotización de acuerdo a su requerimiento. </t>
  </si>
  <si>
    <t>P. Vta. Unitario</t>
  </si>
  <si>
    <t>P. Vta. Total</t>
  </si>
  <si>
    <t>Mantenimiento</t>
  </si>
  <si>
    <t>Tiempo de Entrega:</t>
  </si>
  <si>
    <t>Ing. Oziel Perez Cantu</t>
  </si>
  <si>
    <t>Industrias John Deere, S.A. de C.V.</t>
  </si>
  <si>
    <t>Ing. Emilio Salazar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</si>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</sst>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10"/>
      <color theme="0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1"/>
      <color theme="0"/>
      <name val="Tahoma"/>
      <family val="2"/>
    </font>
    <font>
      <i/>
      <sz val="10"/>
      <color theme="1"/>
      <name val="Tahoma"/>
      <family val="2"/>
    </font>
    <font>
      <sz val="10"/>
      <color theme="4" tint="-0.499984740745262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i/>
      <sz val="11"/>
      <color theme="1"/>
      <name val="Tahoma"/>
      <family val="2"/>
    </font>
    <font>
      <sz val="10"/>
      <color rgb="FF000000"/>
      <name val="Calibri"/>
      <family val="2"/>
    </font>
    <font>
      <sz val="9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horizontal="center" vertical="top"/>
    </xf>
    <xf numFmtId="44" fontId="3" fillId="0" borderId="0" xfId="1" applyFont="1" applyAlignment="1">
      <alignment vertical="top"/>
    </xf>
    <xf numFmtId="44" fontId="3" fillId="0" borderId="0" xfId="1" applyFont="1" applyBorder="1" applyAlignment="1">
      <alignment vertical="top"/>
    </xf>
    <xf numFmtId="0" fontId="9" fillId="0" borderId="0" xfId="0" applyFont="1"/>
    <xf numFmtId="44" fontId="9" fillId="0" borderId="0" xfId="1" applyFont="1"/>
    <xf numFmtId="0" fontId="6" fillId="0" borderId="1" xfId="0" applyFont="1" applyBorder="1"/>
    <xf numFmtId="44" fontId="6" fillId="0" borderId="1" xfId="1" applyFont="1" applyBorder="1"/>
    <xf numFmtId="0" fontId="5" fillId="2" borderId="0" xfId="0" applyFont="1" applyFill="1" applyAlignment="1">
      <alignment horizontal="right"/>
    </xf>
    <xf numFmtId="0" fontId="0" fillId="0" borderId="0" xfId="0" applyAlignment="1">
      <alignment horizontal="center" vertical="center"/>
    </xf>
    <xf numFmtId="44" fontId="11" fillId="0" borderId="0" xfId="1" applyFont="1"/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44" fontId="12" fillId="3" borderId="0" xfId="1" applyFont="1" applyFill="1" applyBorder="1" applyAlignment="1">
      <alignment horizontal="center" vertical="center"/>
    </xf>
    <xf numFmtId="44" fontId="12" fillId="3" borderId="0" xfId="1" applyFont="1" applyFill="1" applyBorder="1" applyAlignment="1">
      <alignment horizontal="center"/>
    </xf>
    <xf numFmtId="10" fontId="12" fillId="3" borderId="0" xfId="1" applyNumberFormat="1" applyFont="1" applyFill="1" applyBorder="1" applyAlignment="1">
      <alignment horizontal="center"/>
    </xf>
    <xf numFmtId="0" fontId="12" fillId="3" borderId="0" xfId="0" applyFont="1" applyFill="1"/>
    <xf numFmtId="0" fontId="11" fillId="0" borderId="0" xfId="0" applyFont="1"/>
    <xf numFmtId="10" fontId="11" fillId="0" borderId="0" xfId="1" applyNumberFormat="1" applyFont="1" applyFill="1" applyAlignment="1">
      <alignment wrapText="1"/>
    </xf>
    <xf numFmtId="44" fontId="10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4" fontId="7" fillId="3" borderId="0" xfId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4" fontId="11" fillId="0" borderId="0" xfId="1" applyFont="1" applyAlignment="1">
      <alignment vertical="center"/>
    </xf>
    <xf numFmtId="0" fontId="16" fillId="0" borderId="0" xfId="0" applyFont="1" applyAlignment="1">
      <alignment horizontal="left" vertical="top" wrapText="1"/>
    </xf>
    <xf numFmtId="0" fontId="16" fillId="4" borderId="0" xfId="0" applyFont="1" applyFill="1" applyAlignment="1">
      <alignment horizontal="left" vertical="top" wrapText="1"/>
    </xf>
    <xf numFmtId="0" fontId="17" fillId="3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9" fillId="0" borderId="2" xfId="0" applyFont="1" applyBorder="1"/>
    <xf numFmtId="44" fontId="9" fillId="0" borderId="2" xfId="1" applyFont="1" applyBorder="1"/>
    <xf numFmtId="0" fontId="3" fillId="0" borderId="0" xfId="0" applyFont="1" applyAlignment="1">
      <alignment horizontal="center"/>
    </xf>
    <xf numFmtId="44" fontId="3" fillId="0" borderId="0" xfId="1" applyFont="1" applyBorder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4" fontId="11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 vertical="top"/>
    </xf>
    <xf numFmtId="0" fontId="15" fillId="0" borderId="0" xfId="0" applyFont="1" applyAlignment="1">
      <alignment vertical="top" wrapText="1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13" fillId="0" borderId="0" xfId="0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1DFE-3385-4A02-9DC2-BA77FDCD7333}">
  <dimension ref="A1:H43"/>
  <sheetViews>
    <sheetView view="pageLayout" zoomScaleNormal="100" workbookViewId="0">
      <selection activeCell="C13" sqref="C13:F36"/>
    </sheetView>
  </sheetViews>
  <sheetFormatPr defaultColWidth="11.42578125" defaultRowHeight="14.25" x14ac:dyDescent="0.2"/>
  <cols>
    <col min="1" max="1" width="7.28515625" style="1" customWidth="1"/>
    <col min="2" max="2" width="8.5703125" style="1" customWidth="1"/>
    <col min="3" max="5" width="11.42578125" style="1"/>
    <col min="6" max="6" width="10.28515625" style="1" customWidth="1"/>
    <col min="7" max="7" width="13.42578125" style="1" customWidth="1"/>
    <col min="8" max="8" width="16.28515625" style="1" customWidth="1"/>
    <col min="9" max="16384" width="11.42578125" style="1"/>
  </cols>
  <sheetData>
    <row r="1" spans="1:8" ht="15" customHeight="1" x14ac:dyDescent="0.2">
      <c r="F1" s="45">
        <f ca="1">TODAY()</f>
        <v>46295</v>
      </c>
      <c r="G1" s="45"/>
      <c r="H1" s="45"/>
    </row>
    <row r="2" spans="1:8" x14ac:dyDescent="0.2">
      <c r="A2" s="46"/>
      <c r="B2" s="46"/>
      <c r="C2" s="46"/>
      <c r="D2" s="3"/>
      <c r="E2" s="3"/>
      <c r="F2" s="3"/>
      <c r="G2" s="4" t="s">
        <v>0</v>
      </c>
      <c r="H2" s="12" t="e" cm="1">
        <f t="array" aca="1" ref="H2" ca="1">LEFT(MID(CELL("nombrearchivo"),SEARCH("[",CELL("nombrearchivo"))+1,SEARCH("]",CELL("nombrearchivo"))-SEARCH("[",CELL("nombrearchivo"))-1),SEARCH(".",MID(CELL("nombrearchivo"),SEARCH("[",CELL("nombrearchivo"))+1,SEARCH("]",CELL("nombrearchivo"))-SEARCH("[",CELL("nombrearchivo"))-1))-1)</f>
        <v>#VALUE!</v>
      </c>
    </row>
    <row r="3" spans="1:8" x14ac:dyDescent="0.2">
      <c r="A3" s="2"/>
      <c r="B3" s="2"/>
      <c r="C3" s="2"/>
      <c r="D3" s="3"/>
      <c r="E3" s="3"/>
      <c r="F3" s="3"/>
      <c r="G3" s="41"/>
      <c r="H3" s="41"/>
    </row>
    <row r="4" spans="1:8" x14ac:dyDescent="0.2">
      <c r="A4" s="53" t="s">
        <v>1</v>
      </c>
      <c r="B4" s="53"/>
      <c r="C4" s="53"/>
      <c r="D4" s="53"/>
      <c r="E4" s="51" t="s">
        <v>2</v>
      </c>
      <c r="F4" s="51"/>
      <c r="G4" s="51" t="s">
        <v>3</v>
      </c>
      <c r="H4" s="51"/>
    </row>
    <row r="5" spans="1:8" x14ac:dyDescent="0.2">
      <c r="A5" s="54" t="s">
        <v>30</v>
      </c>
      <c r="B5" s="54"/>
      <c r="C5" s="54"/>
      <c r="D5" s="54"/>
      <c r="E5" s="52" t="s">
        <v>27</v>
      </c>
      <c r="F5" s="52"/>
      <c r="G5" s="52" t="s">
        <v>31</v>
      </c>
      <c r="H5" s="52"/>
    </row>
    <row r="6" spans="1:8" x14ac:dyDescent="0.2">
      <c r="A6" s="54"/>
      <c r="B6" s="54"/>
      <c r="C6" s="54"/>
      <c r="D6" s="54"/>
      <c r="E6" s="52"/>
      <c r="F6" s="52"/>
      <c r="G6" s="52"/>
      <c r="H6" s="52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ht="16.5" customHeight="1" x14ac:dyDescent="0.2">
      <c r="A8" s="42" t="s">
        <v>24</v>
      </c>
      <c r="B8" s="42"/>
      <c r="C8" s="42"/>
      <c r="D8" s="42"/>
      <c r="E8" s="42"/>
      <c r="F8" s="42"/>
      <c r="G8" s="42"/>
      <c r="H8" s="42"/>
    </row>
    <row r="9" spans="1:8" ht="16.5" customHeight="1" x14ac:dyDescent="0.2">
      <c r="A9" s="42"/>
      <c r="B9" s="42"/>
      <c r="C9" s="42"/>
      <c r="D9" s="42"/>
      <c r="E9" s="42"/>
      <c r="F9" s="42"/>
      <c r="G9" s="42"/>
      <c r="H9" s="42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44" t="s">
        <v>4</v>
      </c>
      <c r="B11" s="44" t="s">
        <v>5</v>
      </c>
      <c r="C11" s="44" t="s">
        <v>6</v>
      </c>
      <c r="D11" s="44"/>
      <c r="E11" s="44"/>
      <c r="F11" s="44"/>
      <c r="G11" s="43" t="s">
        <v>7</v>
      </c>
      <c r="H11" s="44" t="s">
        <v>8</v>
      </c>
    </row>
    <row r="12" spans="1:8" x14ac:dyDescent="0.2">
      <c r="A12" s="44"/>
      <c r="B12" s="44"/>
      <c r="C12" s="44"/>
      <c r="D12" s="44"/>
      <c r="E12" s="44"/>
      <c r="F12" s="44"/>
      <c r="G12" s="43"/>
      <c r="H12" s="44"/>
    </row>
    <row r="13" spans="1:8" ht="13.9" customHeight="1" x14ac:dyDescent="0.2">
      <c r="A13" s="25">
        <v>1</v>
      </c>
      <c r="B13" s="25">
        <v>1</v>
      </c>
      <c r="C13" s="50"/>
      <c r="D13" s="50"/>
      <c r="E13" s="50"/>
      <c r="F13" s="50"/>
      <c r="G13" s="6">
        <v>7000</v>
      </c>
      <c r="H13" s="6">
        <v>7000</v>
      </c>
    </row>
    <row r="14" spans="1:8" ht="16.5" customHeight="1" x14ac:dyDescent="0.2">
      <c r="A14" s="24"/>
      <c r="B14" s="24"/>
      <c r="C14" s="50"/>
      <c r="D14" s="50"/>
      <c r="E14" s="50"/>
      <c r="F14" s="50"/>
      <c r="G14" s="6"/>
      <c r="H14" s="6"/>
    </row>
    <row r="15" spans="1:8" ht="16.5" customHeight="1" x14ac:dyDescent="0.2">
      <c r="A15" s="25"/>
      <c r="B15" s="25"/>
      <c r="C15" s="50"/>
      <c r="D15" s="50"/>
      <c r="E15" s="50"/>
      <c r="F15" s="50"/>
      <c r="G15" s="6"/>
      <c r="H15" s="6"/>
    </row>
    <row r="16" spans="1:8" ht="16.5" customHeight="1" x14ac:dyDescent="0.2">
      <c r="A16" s="25"/>
      <c r="B16" s="25"/>
      <c r="C16" s="50"/>
      <c r="D16" s="50"/>
      <c r="E16" s="50"/>
      <c r="F16" s="50"/>
      <c r="G16" s="6"/>
      <c r="H16" s="6"/>
    </row>
    <row r="17" spans="1:8" ht="16.5" customHeight="1" x14ac:dyDescent="0.2">
      <c r="A17" s="5"/>
      <c r="B17" s="5"/>
      <c r="C17" s="50"/>
      <c r="D17" s="50"/>
      <c r="E17" s="50"/>
      <c r="F17" s="50"/>
      <c r="G17" s="6"/>
      <c r="H17" s="6"/>
    </row>
    <row r="18" spans="1:8" ht="16.5" customHeight="1" x14ac:dyDescent="0.2">
      <c r="A18" s="5"/>
      <c r="B18" s="5"/>
      <c r="C18" s="50"/>
      <c r="D18" s="50"/>
      <c r="E18" s="50"/>
      <c r="F18" s="50"/>
      <c r="G18" s="6"/>
      <c r="H18" s="6"/>
    </row>
    <row r="19" spans="1:8" ht="16.5" customHeight="1" x14ac:dyDescent="0.2">
      <c r="A19" s="5"/>
      <c r="B19" s="5"/>
      <c r="C19" s="50"/>
      <c r="D19" s="50"/>
      <c r="E19" s="50"/>
      <c r="F19" s="50"/>
      <c r="G19" s="6"/>
      <c r="H19" s="6"/>
    </row>
    <row r="20" spans="1:8" ht="16.5" customHeight="1" x14ac:dyDescent="0.2">
      <c r="A20" s="5"/>
      <c r="B20" s="5"/>
      <c r="C20" s="50"/>
      <c r="D20" s="50"/>
      <c r="E20" s="50"/>
      <c r="F20" s="50"/>
      <c r="G20" s="6"/>
      <c r="H20" s="6"/>
    </row>
    <row r="21" spans="1:8" ht="16.5" customHeight="1" x14ac:dyDescent="0.2">
      <c r="A21" s="5"/>
      <c r="B21" s="5"/>
      <c r="C21" s="50"/>
      <c r="D21" s="50"/>
      <c r="E21" s="50"/>
      <c r="F21" s="50"/>
      <c r="G21" s="6"/>
      <c r="H21" s="6"/>
    </row>
    <row r="22" spans="1:8" ht="16.5" customHeight="1" x14ac:dyDescent="0.2">
      <c r="A22" s="5"/>
      <c r="B22" s="5"/>
      <c r="C22" s="50"/>
      <c r="D22" s="50"/>
      <c r="E22" s="50"/>
      <c r="F22" s="50"/>
      <c r="G22" s="6"/>
      <c r="H22" s="6"/>
    </row>
    <row r="23" spans="1:8" ht="16.5" customHeight="1" x14ac:dyDescent="0.2">
      <c r="A23" s="5"/>
      <c r="B23" s="5"/>
      <c r="C23" s="50"/>
      <c r="D23" s="50"/>
      <c r="E23" s="50"/>
      <c r="F23" s="50"/>
      <c r="G23" s="6"/>
      <c r="H23" s="6"/>
    </row>
    <row r="24" spans="1:8" ht="16.5" customHeight="1" x14ac:dyDescent="0.2">
      <c r="A24" s="5"/>
      <c r="B24" s="5"/>
      <c r="C24" s="50"/>
      <c r="D24" s="50"/>
      <c r="E24" s="50"/>
      <c r="F24" s="50"/>
      <c r="G24" s="6"/>
      <c r="H24" s="6"/>
    </row>
    <row r="25" spans="1:8" ht="16.5" customHeight="1" x14ac:dyDescent="0.2">
      <c r="A25" s="5"/>
      <c r="B25" s="5"/>
      <c r="C25" s="50"/>
      <c r="D25" s="50"/>
      <c r="E25" s="50"/>
      <c r="F25" s="50"/>
      <c r="G25" s="6"/>
      <c r="H25" s="6"/>
    </row>
    <row r="26" spans="1:8" ht="16.5" customHeight="1" x14ac:dyDescent="0.2">
      <c r="A26" s="5"/>
      <c r="B26" s="5"/>
      <c r="C26" s="50"/>
      <c r="D26" s="50"/>
      <c r="E26" s="50"/>
      <c r="F26" s="50"/>
      <c r="G26" s="6"/>
      <c r="H26" s="6"/>
    </row>
    <row r="27" spans="1:8" x14ac:dyDescent="0.2">
      <c r="A27" s="5"/>
      <c r="B27" s="5"/>
      <c r="C27" s="50"/>
      <c r="D27" s="50"/>
      <c r="E27" s="50"/>
      <c r="F27" s="50"/>
      <c r="G27" s="6"/>
      <c r="H27" s="6"/>
    </row>
    <row r="28" spans="1:8" x14ac:dyDescent="0.2">
      <c r="A28" s="5"/>
      <c r="B28" s="5"/>
      <c r="C28" s="50"/>
      <c r="D28" s="50"/>
      <c r="E28" s="50"/>
      <c r="F28" s="50"/>
      <c r="G28" s="6"/>
      <c r="H28" s="6"/>
    </row>
    <row r="29" spans="1:8" x14ac:dyDescent="0.2">
      <c r="A29" s="5"/>
      <c r="B29" s="5"/>
      <c r="C29" s="50"/>
      <c r="D29" s="50"/>
      <c r="E29" s="50"/>
      <c r="F29" s="50"/>
      <c r="G29" s="6"/>
      <c r="H29" s="6"/>
    </row>
    <row r="30" spans="1:8" x14ac:dyDescent="0.2">
      <c r="A30" s="5"/>
      <c r="B30" s="5"/>
      <c r="C30" s="50"/>
      <c r="D30" s="50"/>
      <c r="E30" s="50"/>
      <c r="F30" s="50"/>
      <c r="G30" s="6"/>
      <c r="H30" s="6"/>
    </row>
    <row r="31" spans="1:8" x14ac:dyDescent="0.2">
      <c r="A31" s="5"/>
      <c r="B31" s="5"/>
      <c r="C31" s="50"/>
      <c r="D31" s="50"/>
      <c r="E31" s="50"/>
      <c r="F31" s="50"/>
      <c r="G31" s="6"/>
      <c r="H31" s="6"/>
    </row>
    <row r="32" spans="1:8" x14ac:dyDescent="0.2">
      <c r="A32" s="5"/>
      <c r="B32" s="5"/>
      <c r="C32" s="50"/>
      <c r="D32" s="50"/>
      <c r="E32" s="50"/>
      <c r="F32" s="50"/>
      <c r="G32" s="7"/>
      <c r="H32" s="7"/>
    </row>
    <row r="33" spans="1:8" x14ac:dyDescent="0.2">
      <c r="A33" s="39"/>
      <c r="B33" s="39"/>
      <c r="C33" s="50"/>
      <c r="D33" s="50"/>
      <c r="E33" s="50"/>
      <c r="F33" s="50"/>
      <c r="G33" s="3"/>
      <c r="H33" s="40"/>
    </row>
    <row r="34" spans="1:8" x14ac:dyDescent="0.2">
      <c r="C34" s="50"/>
      <c r="D34" s="50"/>
      <c r="E34" s="50"/>
      <c r="F34" s="50"/>
    </row>
    <row r="35" spans="1:8" x14ac:dyDescent="0.2">
      <c r="C35" s="50"/>
      <c r="D35" s="50"/>
      <c r="E35" s="50"/>
      <c r="F35" s="50"/>
    </row>
    <row r="36" spans="1:8" x14ac:dyDescent="0.2">
      <c r="C36" s="50"/>
      <c r="D36" s="50"/>
      <c r="E36" s="50"/>
      <c r="F36" s="50"/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ht="16.5" customHeight="1" x14ac:dyDescent="0.2"/>
    <row r="39" spans="1:8" ht="16.5" customHeight="1" x14ac:dyDescent="0.2">
      <c r="A39" s="49" t="s">
        <v>28</v>
      </c>
      <c r="B39" s="49"/>
      <c r="C39" s="49"/>
      <c r="D39" s="49"/>
      <c r="E39" s="49"/>
      <c r="F39" s="49"/>
      <c r="G39" s="37" t="s">
        <v>9</v>
      </c>
      <c r="H39" s="38">
        <f>SUM(H13:H33)</f>
        <v>7000</v>
      </c>
    </row>
    <row r="40" spans="1:8" x14ac:dyDescent="0.2">
      <c r="A40" s="47" t="s">
        <v>10</v>
      </c>
      <c r="B40" s="47"/>
      <c r="C40" s="47"/>
      <c r="D40" s="3"/>
      <c r="E40" s="3"/>
      <c r="F40" s="3"/>
      <c r="G40" s="8" t="s">
        <v>11</v>
      </c>
      <c r="H40" s="9">
        <f>H39*0.16</f>
        <v>1120</v>
      </c>
    </row>
    <row r="41" spans="1:8" x14ac:dyDescent="0.2">
      <c r="A41" s="48" t="s">
        <v>12</v>
      </c>
      <c r="B41" s="48"/>
      <c r="C41" s="48"/>
      <c r="D41" s="3"/>
      <c r="E41" s="3"/>
      <c r="F41" s="3"/>
      <c r="G41" s="10" t="s">
        <v>13</v>
      </c>
      <c r="H41" s="11">
        <f>H40+H39</f>
        <v>8120</v>
      </c>
    </row>
    <row r="42" spans="1:8" x14ac:dyDescent="0.2">
      <c r="A42" s="42" t="s">
        <v>14</v>
      </c>
      <c r="B42" s="42"/>
      <c r="C42" s="42"/>
      <c r="D42" s="42"/>
      <c r="E42" s="42"/>
      <c r="F42" s="42"/>
      <c r="G42" s="42"/>
      <c r="H42" s="42"/>
    </row>
    <row r="43" spans="1:8" x14ac:dyDescent="0.2">
      <c r="A43" s="42" t="s">
        <v>29</v>
      </c>
      <c r="B43" s="42"/>
      <c r="C43" s="42"/>
      <c r="D43" s="42"/>
      <c r="E43" s="42"/>
      <c r="F43" s="42"/>
      <c r="G43" s="42"/>
      <c r="H43" s="42"/>
    </row>
  </sheetData>
  <mergeCells count="23">
    <mergeCell ref="C13:F36"/>
    <mergeCell ref="G4:H4"/>
    <mergeCell ref="E6:F6"/>
    <mergeCell ref="G6:H6"/>
    <mergeCell ref="A4:D4"/>
    <mergeCell ref="G5:H5"/>
    <mergeCell ref="E5:F5"/>
    <mergeCell ref="A5:D6"/>
    <mergeCell ref="A11:A12"/>
    <mergeCell ref="B11:B12"/>
    <mergeCell ref="C11:F12"/>
    <mergeCell ref="E4:F4"/>
    <mergeCell ref="A43:H43"/>
    <mergeCell ref="A40:C40"/>
    <mergeCell ref="A41:C41"/>
    <mergeCell ref="A39:F39"/>
    <mergeCell ref="A42:H42"/>
    <mergeCell ref="G3:H3"/>
    <mergeCell ref="A8:H9"/>
    <mergeCell ref="G11:G12"/>
    <mergeCell ref="H11:H12"/>
    <mergeCell ref="F1:H1"/>
    <mergeCell ref="A2:C2"/>
  </mergeCells>
  <pageMargins left="0.7" right="0.7" top="1.09375" bottom="1.03125" header="0.3" footer="0.3"/>
  <pageSetup orientation="portrait" r:id="rId1"/>
  <headerFooter>
    <oddHeader>&amp;L&amp;G&amp;R
&amp;"-,Negrita"&amp;24&amp;K04-018Cotización</oddHeader>
    <oddFooter>&amp;C&amp;G&amp;R&amp;P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D87B-C072-43D9-A117-7A63E568C654}">
  <dimension ref="A1:K6"/>
  <sheetViews>
    <sheetView tabSelected="1" zoomScale="70" zoomScaleNormal="85" workbookViewId="0">
      <selection activeCell="A3" sqref="A3"/>
    </sheetView>
  </sheetViews>
  <sheetFormatPr defaultColWidth="11.42578125" defaultRowHeight="15.75" x14ac:dyDescent="0.25"/>
  <cols>
    <col min="1" max="1" width="12.7109375" bestFit="1" customWidth="1"/>
    <col min="3" max="3" width="74.7109375" style="30" customWidth="1"/>
    <col min="4" max="4" width="20.140625" style="34" bestFit="1" customWidth="1"/>
    <col min="5" max="5" width="22" bestFit="1" customWidth="1"/>
    <col min="6" max="6" width="14.42578125" bestFit="1" customWidth="1"/>
    <col min="7" max="7" width="16.28515625" bestFit="1" customWidth="1"/>
    <col min="9" max="9" width="16.28515625" bestFit="1" customWidth="1"/>
    <col min="10" max="10" width="18.28515625" bestFit="1" customWidth="1"/>
    <col min="11" max="11" width="16.85546875" bestFit="1" customWidth="1"/>
  </cols>
  <sheetData>
    <row r="1" spans="1:11" x14ac:dyDescent="0.25">
      <c r="B1" s="13"/>
      <c r="C1" s="31" t="s">
        <v>32</v>
      </c>
    </row>
    <row r="2" spans="1:11" s="20" customFormat="1" x14ac:dyDescent="0.2">
      <c r="A2" s="15" t="s">
        <v>15</v>
      </c>
      <c r="B2" s="16" t="s">
        <v>16</v>
      </c>
      <c r="C2" s="32" t="s">
        <v>17</v>
      </c>
      <c r="D2" s="35" t="s">
        <v>18</v>
      </c>
      <c r="E2" s="17" t="s">
        <v>19</v>
      </c>
      <c r="F2" s="18" t="s">
        <v>20</v>
      </c>
      <c r="G2" s="18" t="s">
        <v>21</v>
      </c>
      <c r="H2" s="19" t="s">
        <v>22</v>
      </c>
      <c r="I2" s="26" t="s">
        <v>25</v>
      </c>
      <c r="J2" s="26" t="s">
        <v>26</v>
      </c>
      <c r="K2" s="18" t="s">
        <v>23</v>
      </c>
    </row>
    <row r="3" spans="1:11" s="21" customFormat="1" x14ac:dyDescent="0.2">
      <c r="A3" s="27">
        <v>1</v>
      </c>
      <c r="B3" s="28">
        <v>0</v>
      </c>
      <c r="C3" s="33"/>
      <c r="D3" s="36"/>
      <c r="E3" s="29">
        <v>0</v>
      </c>
      <c r="F3" s="29">
        <v>0</v>
      </c>
      <c r="G3" s="14">
        <f>F3*B3</f>
        <v>0</v>
      </c>
      <c r="H3" s="22">
        <v>0</v>
      </c>
      <c r="I3" s="14">
        <f t="shared" ref="I3" si="0">F3*(1+H3)</f>
        <v>0</v>
      </c>
      <c r="J3" s="14">
        <f t="shared" ref="J3" si="1">I3*B3</f>
        <v>0</v>
      </c>
      <c r="K3" s="14">
        <f>J3-G3</f>
        <v>0</v>
      </c>
    </row>
    <row r="6" spans="1:11" x14ac:dyDescent="0.25">
      <c r="J6" s="23">
        <f>SUM(J3:J3)</f>
        <v>0</v>
      </c>
      <c r="K6" s="23">
        <f>SUM(K3:K3)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Cotizacion</vt:lpstr>
      <vt:lpstr>Calculo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ECCSA Campos</dc:creator>
  <cp:keywords/>
  <dc:description/>
  <cp:lastModifiedBy>Hector Peña</cp:lastModifiedBy>
  <cp:revision/>
  <cp:lastPrinted>2022-04-15T17:08:50Z</cp:lastPrinted>
  <dcterms:created xsi:type="dcterms:W3CDTF">2022-03-05T16:49:58Z</dcterms:created>
  <dcterms:modified xsi:type="dcterms:W3CDTF">2026-10-01T00:23:04Z</dcterms:modified>
  <cp:category/>
  <cp:contentStatus/>
</cp:coreProperties>
</file>